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/Documents/Projects/"/>
    </mc:Choice>
  </mc:AlternateContent>
  <xr:revisionPtr revIDLastSave="0" documentId="13_ncr:1_{0759036A-B297-3A46-941B-365AFBDA4059}" xr6:coauthVersionLast="47" xr6:coauthVersionMax="47" xr10:uidLastSave="{00000000-0000-0000-0000-000000000000}"/>
  <bookViews>
    <workbookView xWindow="0" yWindow="500" windowWidth="28800" windowHeight="16100" xr2:uid="{BB2B0701-0D4A-8645-882E-C6924ACF5A9D}"/>
  </bookViews>
  <sheets>
    <sheet name="New_Condo_2017-2024" sheetId="1" r:id="rId1"/>
    <sheet name="Chart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" i="1" l="1"/>
  <c r="AO9" i="1"/>
  <c r="AO8" i="1"/>
  <c r="AO7" i="1"/>
  <c r="AO6" i="1"/>
  <c r="AO5" i="1"/>
  <c r="AO4" i="1"/>
  <c r="AO3" i="1"/>
  <c r="AO2" i="1"/>
  <c r="AK10" i="1"/>
  <c r="AK9" i="1"/>
  <c r="AK8" i="1"/>
  <c r="AK7" i="1"/>
  <c r="AK6" i="1"/>
  <c r="AK5" i="1"/>
  <c r="AK4" i="1"/>
  <c r="AK3" i="1"/>
  <c r="AK2" i="1"/>
  <c r="AF10" i="1"/>
  <c r="AF9" i="1"/>
  <c r="AF8" i="1"/>
  <c r="AF7" i="1"/>
  <c r="AF6" i="1"/>
  <c r="AF5" i="1"/>
  <c r="AF4" i="1"/>
  <c r="AF3" i="1"/>
  <c r="AF2" i="1"/>
  <c r="AA10" i="1"/>
  <c r="AA9" i="1"/>
  <c r="AA8" i="1"/>
  <c r="AA7" i="1"/>
  <c r="AA6" i="1"/>
  <c r="AA5" i="1"/>
  <c r="AA4" i="1"/>
  <c r="AA3" i="1"/>
  <c r="AA2" i="1"/>
  <c r="V10" i="1"/>
  <c r="V9" i="1"/>
  <c r="V8" i="1"/>
  <c r="V7" i="1"/>
  <c r="V6" i="1"/>
  <c r="V5" i="1"/>
  <c r="V4" i="1"/>
  <c r="V3" i="1"/>
  <c r="V2" i="1"/>
  <c r="Q10" i="1"/>
  <c r="Q9" i="1"/>
  <c r="Q8" i="1"/>
  <c r="Q7" i="1"/>
  <c r="Q6" i="1"/>
  <c r="Q5" i="1"/>
  <c r="Q4" i="1"/>
  <c r="Q3" i="1"/>
  <c r="Q2" i="1"/>
  <c r="L10" i="1"/>
  <c r="L9" i="1"/>
  <c r="L8" i="1"/>
  <c r="L7" i="1"/>
  <c r="L6" i="1"/>
  <c r="L5" i="1"/>
  <c r="L4" i="1"/>
  <c r="L3" i="1"/>
  <c r="L2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<sst xmlns="http://schemas.openxmlformats.org/spreadsheetml/2006/main" count="103" uniqueCount="48">
  <si>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</si>
  <si>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</si>
  <si>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</si>
  <si>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</si>
  <si>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</si>
  <si>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</si>
  <si>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</si>
  <si>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</si>
  <si>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</si>
  <si>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</si>
  <si>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</si>
  <si>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</si>
  <si>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</si>
  <si>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</si>
  <si>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</si>
  <si>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</si>
  <si>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</si>
  <si>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</si>
  <si>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</si>
  <si>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</si>
  <si>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</si>
  <si>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</si>
  <si>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</si>
  <si>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</si>
  <si>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</si>
  <si>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</si>
  <si>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</si>
  <si>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</si>
  <si>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</si>
  <si>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</si>
  <si>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</si>
  <si>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Halifax</t>
  </si>
  <si>
    <t>Montréal</t>
  </si>
  <si>
    <t>Ottawa</t>
  </si>
  <si>
    <t>Toronto</t>
  </si>
  <si>
    <t>Calgary</t>
  </si>
  <si>
    <t>Victoria</t>
  </si>
  <si>
    <t>Quebec</t>
  </si>
  <si>
    <t>Vancouver</t>
  </si>
  <si>
    <t>Edmonton</t>
  </si>
  <si>
    <t>City</t>
  </si>
  <si>
    <t>Province</t>
  </si>
  <si>
    <t xml:space="preserve"> Nova Scotia</t>
  </si>
  <si>
    <t>Ontario</t>
  </si>
  <si>
    <t xml:space="preserve"> Alberta </t>
  </si>
  <si>
    <t>British Columbia</t>
  </si>
  <si>
    <t>New condominium apartment price indexes</t>
  </si>
  <si>
    <t>Index=2017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</si>
</sst>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3F35-2AD0-FF48-B9A7-FB39A632710F}">
  <dimension ref="A1:AO10"/>
  <sheetViews>
    <sheetView tabSelected="1" zoomScale="130" zoomScaleNormal="130" workbookViewId="0"/>
  </sheetViews>
  <sheetFormatPr baseColWidth="10" defaultRowHeight="16" x14ac:dyDescent="0.2"/>
  <cols>
    <col min="1" max="1" width="14.83203125" bestFit="1" customWidth="1"/>
    <col min="2" max="2" width="12.33203125" customWidth="1"/>
    <col min="3" max="3" width="8.83203125" customWidth="1"/>
  </cols>
  <sheetData>
    <row r="1" spans="1:41" x14ac:dyDescent="0.2">
      <c r="A1" t="s">
        <v>41</v>
      </c>
      <c r="B1" t="s">
        <v>40</v>
      </c>
      <c r="C1" t="s">
        <v>0</v>
      </c>
      <c r="D1" t="s">
        <v>1</v>
      </c>
      <c r="E1" t="s">
        <v>2</v>
      </c>
      <c r="F1" t="s">
        <v>3</v>
      </c>
      <c r="G1">
        <v>2017</v>
      </c>
      <c r="H1" t="s">
        <v>4</v>
      </c>
      <c r="I1" t="s">
        <v>5</v>
      </c>
      <c r="J1" t="s">
        <v>6</v>
      </c>
      <c r="K1" t="s">
        <v>7</v>
      </c>
      <c r="L1">
        <v>2018</v>
      </c>
      <c r="M1" t="s">
        <v>8</v>
      </c>
      <c r="N1" t="s">
        <v>9</v>
      </c>
      <c r="O1" t="s">
        <v>10</v>
      </c>
      <c r="P1" t="s">
        <v>11</v>
      </c>
      <c r="Q1">
        <v>2019</v>
      </c>
      <c r="R1" t="s">
        <v>12</v>
      </c>
      <c r="S1" t="s">
        <v>13</v>
      </c>
      <c r="T1" t="s">
        <v>14</v>
      </c>
      <c r="U1" t="s">
        <v>15</v>
      </c>
      <c r="V1">
        <v>2020</v>
      </c>
      <c r="W1" t="s">
        <v>16</v>
      </c>
      <c r="X1" t="s">
        <v>17</v>
      </c>
      <c r="Y1" t="s">
        <v>18</v>
      </c>
      <c r="Z1" t="s">
        <v>19</v>
      </c>
      <c r="AA1">
        <v>2021</v>
      </c>
      <c r="AB1" t="s">
        <v>20</v>
      </c>
      <c r="AC1" t="s">
        <v>21</v>
      </c>
      <c r="AD1" t="s">
        <v>22</v>
      </c>
      <c r="AE1" t="s">
        <v>23</v>
      </c>
      <c r="AF1">
        <v>2022</v>
      </c>
      <c r="AG1" t="s">
        <v>24</v>
      </c>
      <c r="AH1" t="s">
        <v>25</v>
      </c>
      <c r="AI1" t="s">
        <v>26</v>
      </c>
      <c r="AJ1" t="s">
        <v>27</v>
      </c>
      <c r="AK1">
        <v>2023</v>
      </c>
      <c r="AL1" t="s">
        <v>28</v>
      </c>
      <c r="AM1" t="s">
        <v>29</v>
      </c>
      <c r="AN1" t="s">
        <v>30</v>
      </c>
      <c r="AO1">
        <v>2024</v>
      </c>
    </row>
    <row r="2" spans="1:41" x14ac:dyDescent="0.2">
      <c r="A2" t="s">
        <v>42</v>
      </c>
      <c r="B2" t="s">
        <v>31</v>
      </c>
      <c r="C2" s="1">
        <v>98.5</v>
      </c>
      <c r="D2" s="1">
        <v>99.4</v>
      </c>
      <c r="E2" s="1">
        <v>100.4</v>
      </c>
      <c r="F2" s="1">
        <v>101.7</v>
      </c>
      <c r="G2" s="1">
        <f t="shared" ref="G2:G10" si="0">AVERAGE(C2:F2)</f>
        <v>100</v>
      </c>
      <c r="H2" s="1">
        <v>102</v>
      </c>
      <c r="I2" s="1">
        <v>102.2</v>
      </c>
      <c r="J2" s="1">
        <v>105.1</v>
      </c>
      <c r="K2" s="1">
        <v>108.4</v>
      </c>
      <c r="L2" s="1">
        <f t="shared" ref="L2:L10" si="1">AVERAGE(H2:K2)</f>
        <v>104.42499999999998</v>
      </c>
      <c r="M2" s="1">
        <v>108.7</v>
      </c>
      <c r="N2" s="1">
        <v>109.6</v>
      </c>
      <c r="O2" s="1">
        <v>107.5</v>
      </c>
      <c r="P2" s="1">
        <v>105.2</v>
      </c>
      <c r="Q2" s="1">
        <f t="shared" ref="Q2:Q10" si="2">AVERAGE(M2:P2)</f>
        <v>107.75</v>
      </c>
      <c r="R2" s="1">
        <v>109.6</v>
      </c>
      <c r="S2" s="1">
        <v>109.8</v>
      </c>
      <c r="T2" s="1">
        <v>113</v>
      </c>
      <c r="U2" s="1">
        <v>113.7</v>
      </c>
      <c r="V2" s="1">
        <f t="shared" ref="V2:V10" si="3">AVERAGE(R2:U2)</f>
        <v>111.52499999999999</v>
      </c>
      <c r="W2" s="1">
        <v>117.9</v>
      </c>
      <c r="X2" s="1">
        <v>123.7</v>
      </c>
      <c r="Y2" s="1">
        <v>126.4</v>
      </c>
      <c r="Z2" s="1">
        <v>123</v>
      </c>
      <c r="AA2" s="1">
        <f t="shared" ref="AA2:AA10" si="4">AVERAGE(W2:Z2)</f>
        <v>122.75</v>
      </c>
      <c r="AB2" s="1">
        <v>119.9</v>
      </c>
      <c r="AC2" s="1">
        <v>119.9</v>
      </c>
      <c r="AD2" s="1">
        <v>119.9</v>
      </c>
      <c r="AE2" s="1">
        <v>119.9</v>
      </c>
      <c r="AF2" s="1">
        <f t="shared" ref="AF2:AF10" si="5">AVERAGE(AB2:AE2)</f>
        <v>119.9</v>
      </c>
      <c r="AG2" s="1">
        <v>119.9</v>
      </c>
      <c r="AH2" s="1">
        <v>119.9</v>
      </c>
      <c r="AI2" s="1">
        <v>120.6</v>
      </c>
      <c r="AJ2" s="1">
        <v>120.9</v>
      </c>
      <c r="AK2" s="1">
        <f t="shared" ref="AK2:AK10" si="6">AVERAGE(AG2:AJ2)</f>
        <v>120.32499999999999</v>
      </c>
      <c r="AL2" s="1">
        <v>120.9</v>
      </c>
      <c r="AM2" s="1">
        <v>121.4</v>
      </c>
      <c r="AN2" s="1">
        <v>121.7</v>
      </c>
      <c r="AO2" s="1">
        <f t="shared" ref="AO2:AO10" si="7">AVERAGE(AL2:AN2)</f>
        <v>121.33333333333333</v>
      </c>
    </row>
    <row r="3" spans="1:41" x14ac:dyDescent="0.2">
      <c r="A3" t="s">
        <v>37</v>
      </c>
      <c r="B3" t="s">
        <v>32</v>
      </c>
      <c r="C3" s="1">
        <v>98.4</v>
      </c>
      <c r="D3" s="1">
        <v>98.5</v>
      </c>
      <c r="E3" s="1">
        <v>100</v>
      </c>
      <c r="F3" s="1">
        <v>103.1</v>
      </c>
      <c r="G3" s="1">
        <f t="shared" si="0"/>
        <v>100</v>
      </c>
      <c r="H3" s="1">
        <v>101.6</v>
      </c>
      <c r="I3" s="1">
        <v>101.9</v>
      </c>
      <c r="J3" s="1">
        <v>103.9</v>
      </c>
      <c r="K3" s="1">
        <v>104.3</v>
      </c>
      <c r="L3" s="1">
        <f t="shared" si="1"/>
        <v>102.925</v>
      </c>
      <c r="M3" s="1">
        <v>103.3</v>
      </c>
      <c r="N3" s="1">
        <v>104.9</v>
      </c>
      <c r="O3" s="1">
        <v>107.9</v>
      </c>
      <c r="P3" s="1">
        <v>108.4</v>
      </c>
      <c r="Q3" s="1">
        <f t="shared" si="2"/>
        <v>106.125</v>
      </c>
      <c r="R3" s="1">
        <v>111.2</v>
      </c>
      <c r="S3" s="1">
        <v>112.6</v>
      </c>
      <c r="T3" s="1">
        <v>113.8</v>
      </c>
      <c r="U3" s="1">
        <v>115.7</v>
      </c>
      <c r="V3" s="1">
        <f t="shared" si="3"/>
        <v>113.325</v>
      </c>
      <c r="W3" s="1">
        <v>118</v>
      </c>
      <c r="X3" s="1">
        <v>122.6</v>
      </c>
      <c r="Y3" s="1">
        <v>122.7</v>
      </c>
      <c r="Z3" s="1">
        <v>122.1</v>
      </c>
      <c r="AA3" s="1">
        <f t="shared" si="4"/>
        <v>121.35</v>
      </c>
      <c r="AB3" s="1">
        <v>120.9</v>
      </c>
      <c r="AC3" s="1">
        <v>120.1</v>
      </c>
      <c r="AD3" s="1">
        <v>119.5</v>
      </c>
      <c r="AE3" s="1">
        <v>117.9</v>
      </c>
      <c r="AF3" s="1">
        <f t="shared" si="5"/>
        <v>119.6</v>
      </c>
      <c r="AG3" s="1">
        <v>119.1</v>
      </c>
      <c r="AH3" s="1">
        <v>115.5</v>
      </c>
      <c r="AI3" s="1">
        <v>117</v>
      </c>
      <c r="AJ3" s="1">
        <v>118.3</v>
      </c>
      <c r="AK3" s="1">
        <f t="shared" si="6"/>
        <v>117.47500000000001</v>
      </c>
      <c r="AL3" s="1">
        <v>119.8</v>
      </c>
      <c r="AM3" s="1">
        <v>119.8</v>
      </c>
      <c r="AN3" s="1">
        <v>123.3</v>
      </c>
      <c r="AO3" s="1">
        <f t="shared" si="7"/>
        <v>120.96666666666665</v>
      </c>
    </row>
    <row r="4" spans="1:41" x14ac:dyDescent="0.2">
      <c r="A4" t="s">
        <v>37</v>
      </c>
      <c r="B4" t="s">
        <v>37</v>
      </c>
      <c r="C4" s="1">
        <v>101.6</v>
      </c>
      <c r="D4" s="1">
        <v>100.7</v>
      </c>
      <c r="E4" s="1">
        <v>99.2</v>
      </c>
      <c r="F4" s="1">
        <v>98.5</v>
      </c>
      <c r="G4" s="1">
        <f t="shared" si="0"/>
        <v>100</v>
      </c>
      <c r="H4" s="1">
        <v>98</v>
      </c>
      <c r="I4" s="1">
        <v>97.4</v>
      </c>
      <c r="J4" s="1">
        <v>97.8</v>
      </c>
      <c r="K4" s="1">
        <v>100</v>
      </c>
      <c r="L4" s="1">
        <f t="shared" si="1"/>
        <v>98.3</v>
      </c>
      <c r="M4" s="1">
        <v>98.3</v>
      </c>
      <c r="N4" s="1">
        <v>96.3</v>
      </c>
      <c r="O4" s="1">
        <v>95.7</v>
      </c>
      <c r="P4" s="1">
        <v>96.6</v>
      </c>
      <c r="Q4" s="1">
        <f t="shared" si="2"/>
        <v>96.724999999999994</v>
      </c>
      <c r="R4" s="1">
        <v>96.4</v>
      </c>
      <c r="S4" s="1">
        <v>95.1</v>
      </c>
      <c r="T4" s="1">
        <v>96</v>
      </c>
      <c r="U4" s="1">
        <v>98.9</v>
      </c>
      <c r="V4" s="1">
        <f t="shared" si="3"/>
        <v>96.6</v>
      </c>
      <c r="W4" s="1">
        <v>99.8</v>
      </c>
      <c r="X4" s="1">
        <v>102.3</v>
      </c>
      <c r="Y4" s="1">
        <v>99.5</v>
      </c>
      <c r="Z4" s="1">
        <v>97.7</v>
      </c>
      <c r="AA4" s="1">
        <f t="shared" si="4"/>
        <v>99.825000000000003</v>
      </c>
      <c r="AB4" s="1">
        <v>94.4</v>
      </c>
      <c r="AC4" s="1">
        <v>94.4</v>
      </c>
      <c r="AD4" s="1">
        <v>94.4</v>
      </c>
      <c r="AE4" s="1">
        <v>94.4</v>
      </c>
      <c r="AF4" s="1">
        <f t="shared" si="5"/>
        <v>94.4</v>
      </c>
      <c r="AG4" s="1">
        <v>94.4</v>
      </c>
      <c r="AH4" s="1">
        <v>91.1</v>
      </c>
      <c r="AI4" s="1">
        <v>92.2</v>
      </c>
      <c r="AJ4" s="1">
        <v>93.2</v>
      </c>
      <c r="AK4" s="1">
        <f t="shared" si="6"/>
        <v>92.724999999999994</v>
      </c>
      <c r="AL4" s="1">
        <v>94.4</v>
      </c>
      <c r="AM4" s="1">
        <v>94.5</v>
      </c>
      <c r="AN4" s="1">
        <v>97.2</v>
      </c>
      <c r="AO4" s="1">
        <f t="shared" si="7"/>
        <v>95.366666666666674</v>
      </c>
    </row>
    <row r="5" spans="1:41" x14ac:dyDescent="0.2">
      <c r="A5" t="s">
        <v>43</v>
      </c>
      <c r="B5" t="s">
        <v>33</v>
      </c>
      <c r="C5" s="1">
        <v>101.5</v>
      </c>
      <c r="D5" s="1">
        <v>99.6</v>
      </c>
      <c r="E5" s="1">
        <v>101.3</v>
      </c>
      <c r="F5" s="1">
        <v>97.6</v>
      </c>
      <c r="G5" s="1">
        <f t="shared" si="0"/>
        <v>100</v>
      </c>
      <c r="H5" s="1">
        <v>98.9</v>
      </c>
      <c r="I5" s="1">
        <v>101.5</v>
      </c>
      <c r="J5" s="1">
        <v>103.3</v>
      </c>
      <c r="K5" s="1">
        <v>103.3</v>
      </c>
      <c r="L5" s="1">
        <f t="shared" si="1"/>
        <v>101.75</v>
      </c>
      <c r="M5" s="1">
        <v>107.4</v>
      </c>
      <c r="N5" s="1">
        <v>117</v>
      </c>
      <c r="O5" s="1">
        <v>120.6</v>
      </c>
      <c r="P5" s="1">
        <v>124.7</v>
      </c>
      <c r="Q5" s="1">
        <f t="shared" si="2"/>
        <v>117.425</v>
      </c>
      <c r="R5" s="1">
        <v>131.69999999999999</v>
      </c>
      <c r="S5" s="1">
        <v>135.19999999999999</v>
      </c>
      <c r="T5" s="1">
        <v>135.19999999999999</v>
      </c>
      <c r="U5" s="1">
        <v>136.1</v>
      </c>
      <c r="V5" s="1">
        <f t="shared" si="3"/>
        <v>134.54999999999998</v>
      </c>
      <c r="W5" s="1">
        <v>136.1</v>
      </c>
      <c r="X5" s="1">
        <v>137.19999999999999</v>
      </c>
      <c r="Y5" s="1">
        <v>140.4</v>
      </c>
      <c r="Z5" s="1">
        <v>140.4</v>
      </c>
      <c r="AA5" s="1">
        <f t="shared" si="4"/>
        <v>138.52499999999998</v>
      </c>
      <c r="AB5" s="1">
        <v>139.6</v>
      </c>
      <c r="AC5" s="1">
        <v>138.4</v>
      </c>
      <c r="AD5" s="1">
        <v>138.30000000000001</v>
      </c>
      <c r="AE5" s="1">
        <v>138</v>
      </c>
      <c r="AF5" s="1">
        <f t="shared" si="5"/>
        <v>138.57499999999999</v>
      </c>
      <c r="AG5" s="1">
        <v>135.80000000000001</v>
      </c>
      <c r="AH5" s="1">
        <v>138.4</v>
      </c>
      <c r="AI5" s="1">
        <v>143.1</v>
      </c>
      <c r="AJ5" s="1">
        <v>140.69999999999999</v>
      </c>
      <c r="AK5" s="1">
        <f t="shared" si="6"/>
        <v>139.5</v>
      </c>
      <c r="AL5" s="1">
        <v>139</v>
      </c>
      <c r="AM5" s="1">
        <v>143.4</v>
      </c>
      <c r="AN5" s="1">
        <v>145.19999999999999</v>
      </c>
      <c r="AO5" s="1">
        <f t="shared" si="7"/>
        <v>142.53333333333333</v>
      </c>
    </row>
    <row r="6" spans="1:41" x14ac:dyDescent="0.2">
      <c r="A6" t="s">
        <v>43</v>
      </c>
      <c r="B6" t="s">
        <v>34</v>
      </c>
      <c r="C6" s="1">
        <v>97.2</v>
      </c>
      <c r="D6" s="1">
        <v>99.3</v>
      </c>
      <c r="E6" s="1">
        <v>100.8</v>
      </c>
      <c r="F6" s="1">
        <v>102.7</v>
      </c>
      <c r="G6" s="1">
        <f t="shared" si="0"/>
        <v>100</v>
      </c>
      <c r="H6" s="1">
        <v>104.6</v>
      </c>
      <c r="I6" s="1">
        <v>105</v>
      </c>
      <c r="J6" s="1">
        <v>105.7</v>
      </c>
      <c r="K6" s="1">
        <v>109.3</v>
      </c>
      <c r="L6" s="1">
        <f t="shared" si="1"/>
        <v>106.15</v>
      </c>
      <c r="M6" s="1">
        <v>110.1</v>
      </c>
      <c r="N6" s="1">
        <v>110.1</v>
      </c>
      <c r="O6" s="1">
        <v>108.2</v>
      </c>
      <c r="P6" s="1">
        <v>116.3</v>
      </c>
      <c r="Q6" s="1">
        <f t="shared" si="2"/>
        <v>111.175</v>
      </c>
      <c r="R6" s="1">
        <v>125.6</v>
      </c>
      <c r="S6" s="1">
        <v>130</v>
      </c>
      <c r="T6" s="1">
        <v>129.69999999999999</v>
      </c>
      <c r="U6" s="1">
        <v>129.1</v>
      </c>
      <c r="V6" s="1">
        <f t="shared" si="3"/>
        <v>128.6</v>
      </c>
      <c r="W6" s="1">
        <v>128.5</v>
      </c>
      <c r="X6" s="1">
        <v>131.19999999999999</v>
      </c>
      <c r="Y6" s="1">
        <v>134.80000000000001</v>
      </c>
      <c r="Z6" s="1">
        <v>138</v>
      </c>
      <c r="AA6" s="1">
        <f t="shared" si="4"/>
        <v>133.125</v>
      </c>
      <c r="AB6" s="1">
        <v>140</v>
      </c>
      <c r="AC6" s="1">
        <v>138.30000000000001</v>
      </c>
      <c r="AD6" s="1">
        <v>139.1</v>
      </c>
      <c r="AE6" s="1">
        <v>139.1</v>
      </c>
      <c r="AF6" s="1">
        <f t="shared" si="5"/>
        <v>139.125</v>
      </c>
      <c r="AG6" s="1">
        <v>138.9</v>
      </c>
      <c r="AH6" s="1">
        <v>138.19999999999999</v>
      </c>
      <c r="AI6" s="1">
        <v>138.1</v>
      </c>
      <c r="AJ6" s="1">
        <v>136.5</v>
      </c>
      <c r="AK6" s="1">
        <f t="shared" si="6"/>
        <v>137.92500000000001</v>
      </c>
      <c r="AL6" s="1">
        <v>135.69999999999999</v>
      </c>
      <c r="AM6" s="1">
        <v>135.5</v>
      </c>
      <c r="AN6" s="1">
        <v>136</v>
      </c>
      <c r="AO6" s="1">
        <f t="shared" si="7"/>
        <v>135.73333333333332</v>
      </c>
    </row>
    <row r="7" spans="1:41" x14ac:dyDescent="0.2">
      <c r="A7" t="s">
        <v>44</v>
      </c>
      <c r="B7" t="s">
        <v>35</v>
      </c>
      <c r="C7" s="1">
        <v>100.9</v>
      </c>
      <c r="D7" s="1">
        <v>102.4</v>
      </c>
      <c r="E7" s="1">
        <v>99.5</v>
      </c>
      <c r="F7" s="1">
        <v>97.1</v>
      </c>
      <c r="G7" s="1">
        <f t="shared" si="0"/>
        <v>99.974999999999994</v>
      </c>
      <c r="H7" s="1">
        <v>95.9</v>
      </c>
      <c r="I7" s="1">
        <v>92.3</v>
      </c>
      <c r="J7" s="1">
        <v>92.6</v>
      </c>
      <c r="K7" s="1">
        <v>89</v>
      </c>
      <c r="L7" s="1">
        <f t="shared" si="1"/>
        <v>92.449999999999989</v>
      </c>
      <c r="M7" s="1">
        <v>86</v>
      </c>
      <c r="N7" s="1">
        <v>84.4</v>
      </c>
      <c r="O7" s="1">
        <v>82.9</v>
      </c>
      <c r="P7" s="1">
        <v>79.8</v>
      </c>
      <c r="Q7" s="1">
        <f t="shared" si="2"/>
        <v>83.275000000000006</v>
      </c>
      <c r="R7" s="1">
        <v>78</v>
      </c>
      <c r="S7" s="1">
        <v>78</v>
      </c>
      <c r="T7" s="1">
        <v>77.5</v>
      </c>
      <c r="U7" s="1">
        <v>78.599999999999994</v>
      </c>
      <c r="V7" s="1">
        <f t="shared" si="3"/>
        <v>78.025000000000006</v>
      </c>
      <c r="W7" s="1">
        <v>78.7</v>
      </c>
      <c r="X7" s="1">
        <v>79.400000000000006</v>
      </c>
      <c r="Y7" s="1">
        <v>80.5</v>
      </c>
      <c r="Z7" s="1">
        <v>80.900000000000006</v>
      </c>
      <c r="AA7" s="1">
        <f t="shared" si="4"/>
        <v>79.875</v>
      </c>
      <c r="AB7" s="1">
        <v>80.900000000000006</v>
      </c>
      <c r="AC7" s="1">
        <v>81.900000000000006</v>
      </c>
      <c r="AD7" s="1">
        <v>82.4</v>
      </c>
      <c r="AE7" s="1">
        <v>82.8</v>
      </c>
      <c r="AF7" s="1">
        <f t="shared" si="5"/>
        <v>82</v>
      </c>
      <c r="AG7" s="1">
        <v>84.2</v>
      </c>
      <c r="AH7" s="1">
        <v>87.7</v>
      </c>
      <c r="AI7" s="1">
        <v>93.1</v>
      </c>
      <c r="AJ7" s="1">
        <v>96.8</v>
      </c>
      <c r="AK7" s="1">
        <f t="shared" si="6"/>
        <v>90.45</v>
      </c>
      <c r="AL7" s="1">
        <v>102.3</v>
      </c>
      <c r="AM7" s="1">
        <v>107</v>
      </c>
      <c r="AN7" s="1">
        <v>108.2</v>
      </c>
      <c r="AO7" s="1">
        <f t="shared" si="7"/>
        <v>105.83333333333333</v>
      </c>
    </row>
    <row r="8" spans="1:41" x14ac:dyDescent="0.2">
      <c r="A8" t="s">
        <v>44</v>
      </c>
      <c r="B8" t="s">
        <v>39</v>
      </c>
      <c r="C8" s="1">
        <v>100.2</v>
      </c>
      <c r="D8" s="1">
        <v>100.4</v>
      </c>
      <c r="E8" s="1">
        <v>100.1</v>
      </c>
      <c r="F8" s="1">
        <v>99.3</v>
      </c>
      <c r="G8" s="1">
        <f t="shared" si="0"/>
        <v>100.00000000000001</v>
      </c>
      <c r="H8" s="1">
        <v>98.6</v>
      </c>
      <c r="I8" s="1">
        <v>97.9</v>
      </c>
      <c r="J8" s="1">
        <v>97.6</v>
      </c>
      <c r="K8" s="1">
        <v>94.7</v>
      </c>
      <c r="L8" s="1">
        <f t="shared" si="1"/>
        <v>97.2</v>
      </c>
      <c r="M8" s="1">
        <v>94.2</v>
      </c>
      <c r="N8" s="1">
        <v>93.9</v>
      </c>
      <c r="O8" s="1">
        <v>92.2</v>
      </c>
      <c r="P8" s="1">
        <v>91.3</v>
      </c>
      <c r="Q8" s="1">
        <f t="shared" si="2"/>
        <v>92.9</v>
      </c>
      <c r="R8" s="1">
        <v>89.3</v>
      </c>
      <c r="S8" s="1">
        <v>89.6</v>
      </c>
      <c r="T8" s="1">
        <v>88.4</v>
      </c>
      <c r="U8" s="1">
        <v>85.9</v>
      </c>
      <c r="V8" s="1">
        <f t="shared" si="3"/>
        <v>88.299999999999983</v>
      </c>
      <c r="W8" s="1">
        <v>85.8</v>
      </c>
      <c r="X8" s="1">
        <v>87.9</v>
      </c>
      <c r="Y8" s="1">
        <v>88.4</v>
      </c>
      <c r="Z8" s="1">
        <v>85.9</v>
      </c>
      <c r="AA8" s="1">
        <f t="shared" si="4"/>
        <v>87</v>
      </c>
      <c r="AB8" s="1">
        <v>85.4</v>
      </c>
      <c r="AC8" s="1">
        <v>88.4</v>
      </c>
      <c r="AD8" s="1">
        <v>89.2</v>
      </c>
      <c r="AE8" s="1">
        <v>87.7</v>
      </c>
      <c r="AF8" s="1">
        <f t="shared" si="5"/>
        <v>87.674999999999997</v>
      </c>
      <c r="AG8" s="1">
        <v>88.7</v>
      </c>
      <c r="AH8" s="1">
        <v>88.9</v>
      </c>
      <c r="AI8" s="1">
        <v>91</v>
      </c>
      <c r="AJ8" s="1">
        <v>94.6</v>
      </c>
      <c r="AK8" s="1">
        <f t="shared" si="6"/>
        <v>90.800000000000011</v>
      </c>
      <c r="AL8" s="1">
        <v>99.9</v>
      </c>
      <c r="AM8" s="1">
        <v>104.5</v>
      </c>
      <c r="AN8" s="1">
        <v>105.7</v>
      </c>
      <c r="AO8" s="1">
        <f t="shared" si="7"/>
        <v>103.36666666666667</v>
      </c>
    </row>
    <row r="9" spans="1:41" x14ac:dyDescent="0.2">
      <c r="A9" t="s">
        <v>45</v>
      </c>
      <c r="B9" t="s">
        <v>38</v>
      </c>
      <c r="C9" s="1">
        <v>91.6</v>
      </c>
      <c r="D9" s="1">
        <v>95.4</v>
      </c>
      <c r="E9" s="1">
        <v>104</v>
      </c>
      <c r="F9" s="1">
        <v>109</v>
      </c>
      <c r="G9" s="1">
        <f t="shared" si="0"/>
        <v>100</v>
      </c>
      <c r="H9" s="1">
        <v>103.7</v>
      </c>
      <c r="I9" s="1">
        <v>101.7</v>
      </c>
      <c r="J9" s="1">
        <v>104.6</v>
      </c>
      <c r="K9" s="1">
        <v>106</v>
      </c>
      <c r="L9" s="1">
        <f t="shared" si="1"/>
        <v>104</v>
      </c>
      <c r="M9" s="1">
        <v>108.9</v>
      </c>
      <c r="N9" s="1">
        <v>107.2</v>
      </c>
      <c r="O9" s="1">
        <v>105.1</v>
      </c>
      <c r="P9" s="1">
        <v>104.3</v>
      </c>
      <c r="Q9" s="1">
        <f t="shared" si="2"/>
        <v>106.37500000000001</v>
      </c>
      <c r="R9" s="1">
        <v>109.2</v>
      </c>
      <c r="S9" s="1">
        <v>111.2</v>
      </c>
      <c r="T9" s="1">
        <v>111.4</v>
      </c>
      <c r="U9" s="1">
        <v>110.8</v>
      </c>
      <c r="V9" s="1">
        <f t="shared" si="3"/>
        <v>110.65</v>
      </c>
      <c r="W9" s="1">
        <v>110.8</v>
      </c>
      <c r="X9" s="1">
        <v>111.9</v>
      </c>
      <c r="Y9" s="1">
        <v>112.8</v>
      </c>
      <c r="Z9" s="1">
        <v>115.2</v>
      </c>
      <c r="AA9" s="1">
        <f t="shared" si="4"/>
        <v>112.675</v>
      </c>
      <c r="AB9" s="1">
        <v>119.6</v>
      </c>
      <c r="AC9" s="1">
        <v>124</v>
      </c>
      <c r="AD9" s="1">
        <v>121.9</v>
      </c>
      <c r="AE9" s="1">
        <v>121.7</v>
      </c>
      <c r="AF9" s="1">
        <f t="shared" si="5"/>
        <v>121.8</v>
      </c>
      <c r="AG9" s="1">
        <v>121.4</v>
      </c>
      <c r="AH9" s="1">
        <v>119.3</v>
      </c>
      <c r="AI9" s="1">
        <v>119.7</v>
      </c>
      <c r="AJ9" s="1">
        <v>115.8</v>
      </c>
      <c r="AK9" s="1">
        <f t="shared" si="6"/>
        <v>119.05</v>
      </c>
      <c r="AL9" s="1">
        <v>117.1</v>
      </c>
      <c r="AM9" s="1">
        <v>119.5</v>
      </c>
      <c r="AN9" s="1">
        <v>118.2</v>
      </c>
      <c r="AO9" s="1">
        <f t="shared" si="7"/>
        <v>118.26666666666667</v>
      </c>
    </row>
    <row r="10" spans="1:41" x14ac:dyDescent="0.2">
      <c r="A10" t="s">
        <v>45</v>
      </c>
      <c r="B10" t="s">
        <v>36</v>
      </c>
      <c r="C10" s="1">
        <v>96</v>
      </c>
      <c r="D10" s="1">
        <v>97.3</v>
      </c>
      <c r="E10" s="1">
        <v>102.6</v>
      </c>
      <c r="F10" s="1">
        <v>104</v>
      </c>
      <c r="G10" s="1">
        <f t="shared" si="0"/>
        <v>99.974999999999994</v>
      </c>
      <c r="H10" s="1">
        <v>104.9</v>
      </c>
      <c r="I10" s="1">
        <v>108</v>
      </c>
      <c r="J10" s="1">
        <v>114</v>
      </c>
      <c r="K10" s="1">
        <v>118.8</v>
      </c>
      <c r="L10" s="1">
        <f t="shared" si="1"/>
        <v>111.425</v>
      </c>
      <c r="M10" s="1">
        <v>119.4</v>
      </c>
      <c r="N10" s="1">
        <v>129.19999999999999</v>
      </c>
      <c r="O10" s="1">
        <v>130.30000000000001</v>
      </c>
      <c r="P10" s="1">
        <v>137.9</v>
      </c>
      <c r="Q10" s="1">
        <f t="shared" si="2"/>
        <v>129.19999999999999</v>
      </c>
      <c r="R10" s="1">
        <v>141.30000000000001</v>
      </c>
      <c r="S10" s="1">
        <v>141.69999999999999</v>
      </c>
      <c r="T10" s="1">
        <v>139.9</v>
      </c>
      <c r="U10" s="1">
        <v>139.30000000000001</v>
      </c>
      <c r="V10" s="1">
        <f t="shared" si="3"/>
        <v>140.55000000000001</v>
      </c>
      <c r="W10" s="1">
        <v>142.30000000000001</v>
      </c>
      <c r="X10" s="1">
        <v>142.6</v>
      </c>
      <c r="Y10" s="1">
        <v>145.30000000000001</v>
      </c>
      <c r="Z10" s="1">
        <v>143.80000000000001</v>
      </c>
      <c r="AA10" s="1">
        <f t="shared" si="4"/>
        <v>143.5</v>
      </c>
      <c r="AB10" s="1">
        <v>145.69999999999999</v>
      </c>
      <c r="AC10" s="1">
        <v>146.4</v>
      </c>
      <c r="AD10" s="1">
        <v>144.5</v>
      </c>
      <c r="AE10" s="1">
        <v>144.19999999999999</v>
      </c>
      <c r="AF10" s="1">
        <f t="shared" si="5"/>
        <v>145.19999999999999</v>
      </c>
      <c r="AG10" s="1">
        <v>140.69999999999999</v>
      </c>
      <c r="AH10" s="1">
        <v>138.1</v>
      </c>
      <c r="AI10" s="1">
        <v>140.4</v>
      </c>
      <c r="AJ10" s="1">
        <v>142.4</v>
      </c>
      <c r="AK10" s="1">
        <f t="shared" si="6"/>
        <v>140.39999999999998</v>
      </c>
      <c r="AL10" s="1">
        <v>137</v>
      </c>
      <c r="AM10" s="1">
        <v>136.1</v>
      </c>
      <c r="AN10" s="1">
        <v>137</v>
      </c>
      <c r="AO10" s="1">
        <f t="shared" si="7"/>
        <v>136.70000000000002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880-A809-244E-8429-D378C383992E}">
  <dimension ref="A1:R26"/>
  <sheetViews>
    <sheetView workbookViewId="0">
      <selection activeCell="Q15" sqref="Q15:R26"/>
    </sheetView>
  </sheetViews>
  <sheetFormatPr baseColWidth="10" defaultRowHeight="16" x14ac:dyDescent="0.2"/>
  <sheetData>
    <row r="1" spans="1:17" x14ac:dyDescent="0.2">
      <c r="A1" t="s">
        <v>46</v>
      </c>
    </row>
    <row r="2" spans="1:17" x14ac:dyDescent="0.2">
      <c r="A2" t="s">
        <v>47</v>
      </c>
    </row>
    <row r="3" spans="1:17" x14ac:dyDescent="0.2">
      <c r="A3" t="s">
        <v>41</v>
      </c>
      <c r="B3" t="s">
        <v>42</v>
      </c>
      <c r="C3" s="2" t="s">
        <v>37</v>
      </c>
      <c r="D3" s="2"/>
      <c r="E3" s="2" t="s">
        <v>43</v>
      </c>
      <c r="F3" s="2"/>
      <c r="G3" s="2" t="s">
        <v>44</v>
      </c>
      <c r="H3" s="2"/>
      <c r="I3" s="2" t="s">
        <v>45</v>
      </c>
      <c r="J3" s="2"/>
    </row>
    <row r="4" spans="1:17" x14ac:dyDescent="0.2">
      <c r="A4" t="s">
        <v>40</v>
      </c>
      <c r="B4" t="s">
        <v>31</v>
      </c>
      <c r="C4" t="s">
        <v>32</v>
      </c>
      <c r="D4" t="s">
        <v>37</v>
      </c>
      <c r="E4" t="s">
        <v>33</v>
      </c>
      <c r="F4" t="s">
        <v>34</v>
      </c>
      <c r="G4" t="s">
        <v>35</v>
      </c>
      <c r="H4" t="s">
        <v>39</v>
      </c>
      <c r="I4" t="s">
        <v>38</v>
      </c>
      <c r="J4" t="s">
        <v>36</v>
      </c>
    </row>
    <row r="5" spans="1:17" x14ac:dyDescent="0.2">
      <c r="A5" s="1">
        <v>2017</v>
      </c>
      <c r="B5" s="1">
        <v>100</v>
      </c>
      <c r="C5" s="1">
        <v>100</v>
      </c>
      <c r="D5" s="1">
        <v>100</v>
      </c>
      <c r="E5" s="1">
        <v>100</v>
      </c>
      <c r="F5" s="1">
        <v>100</v>
      </c>
      <c r="G5" s="1">
        <v>99.974999999999994</v>
      </c>
      <c r="H5" s="1">
        <v>100.00000000000001</v>
      </c>
      <c r="I5" s="1">
        <v>100</v>
      </c>
      <c r="J5" s="1">
        <v>99.974999999999994</v>
      </c>
    </row>
    <row r="6" spans="1:17" x14ac:dyDescent="0.2">
      <c r="A6">
        <v>2018</v>
      </c>
      <c r="B6" s="1">
        <v>104.42499999999998</v>
      </c>
      <c r="C6" s="1">
        <v>102.925</v>
      </c>
      <c r="D6" s="1">
        <v>98.3</v>
      </c>
      <c r="E6" s="1">
        <v>101.75</v>
      </c>
      <c r="F6" s="1">
        <v>106.15</v>
      </c>
      <c r="G6" s="1">
        <v>92.449999999999989</v>
      </c>
      <c r="H6" s="1">
        <v>97.2</v>
      </c>
      <c r="I6" s="1">
        <v>104</v>
      </c>
      <c r="J6" s="1">
        <v>111.425</v>
      </c>
    </row>
    <row r="7" spans="1:17" x14ac:dyDescent="0.2">
      <c r="A7">
        <v>2019</v>
      </c>
      <c r="B7" s="1">
        <v>107.75</v>
      </c>
      <c r="C7" s="1">
        <v>106.125</v>
      </c>
      <c r="D7" s="1">
        <v>96.724999999999994</v>
      </c>
      <c r="E7" s="1">
        <v>117.425</v>
      </c>
      <c r="F7" s="1">
        <v>111.175</v>
      </c>
      <c r="G7" s="1">
        <v>83.275000000000006</v>
      </c>
      <c r="H7" s="1">
        <v>92.9</v>
      </c>
      <c r="I7" s="1">
        <v>106.37500000000001</v>
      </c>
      <c r="J7" s="1">
        <v>129.19999999999999</v>
      </c>
    </row>
    <row r="8" spans="1:17" x14ac:dyDescent="0.2">
      <c r="A8">
        <v>2020</v>
      </c>
      <c r="B8" s="1">
        <v>111.52499999999999</v>
      </c>
      <c r="C8" s="1">
        <v>113.325</v>
      </c>
      <c r="D8" s="1">
        <v>96.6</v>
      </c>
      <c r="E8" s="1">
        <v>134.54999999999998</v>
      </c>
      <c r="F8" s="1">
        <v>128.6</v>
      </c>
      <c r="G8" s="1">
        <v>78.025000000000006</v>
      </c>
      <c r="H8" s="1">
        <v>88.299999999999983</v>
      </c>
      <c r="I8" s="1">
        <v>110.65</v>
      </c>
      <c r="J8" s="1">
        <v>140.55000000000001</v>
      </c>
    </row>
    <row r="9" spans="1:17" x14ac:dyDescent="0.2">
      <c r="A9">
        <v>2021</v>
      </c>
      <c r="B9" s="1">
        <v>122.75</v>
      </c>
      <c r="C9" s="1">
        <v>121.35</v>
      </c>
      <c r="D9" s="1">
        <v>99.825000000000003</v>
      </c>
      <c r="E9" s="1">
        <v>138.52499999999998</v>
      </c>
      <c r="F9" s="1">
        <v>133.125</v>
      </c>
      <c r="G9" s="1">
        <v>79.875</v>
      </c>
      <c r="H9" s="1">
        <v>87</v>
      </c>
      <c r="I9" s="1">
        <v>112.675</v>
      </c>
      <c r="J9" s="1">
        <v>143.5</v>
      </c>
    </row>
    <row r="10" spans="1:17" x14ac:dyDescent="0.2">
      <c r="A10">
        <v>2022</v>
      </c>
      <c r="B10" s="1">
        <v>119.9</v>
      </c>
      <c r="C10" s="1">
        <v>119.6</v>
      </c>
      <c r="D10" s="1">
        <v>94.4</v>
      </c>
      <c r="E10" s="1">
        <v>138.57499999999999</v>
      </c>
      <c r="F10" s="1">
        <v>139.125</v>
      </c>
      <c r="G10" s="1">
        <v>82</v>
      </c>
      <c r="H10" s="1">
        <v>87.674999999999997</v>
      </c>
      <c r="I10" s="1">
        <v>121.8</v>
      </c>
      <c r="J10" s="1">
        <v>145.19999999999999</v>
      </c>
    </row>
    <row r="11" spans="1:17" x14ac:dyDescent="0.2">
      <c r="A11">
        <v>2023</v>
      </c>
      <c r="B11" s="1">
        <v>120.32499999999999</v>
      </c>
      <c r="C11" s="1">
        <v>117.47500000000001</v>
      </c>
      <c r="D11" s="1">
        <v>92.724999999999994</v>
      </c>
      <c r="E11" s="1">
        <v>139.5</v>
      </c>
      <c r="F11" s="1">
        <v>137.92500000000001</v>
      </c>
      <c r="G11" s="1">
        <v>90.45</v>
      </c>
      <c r="H11" s="1">
        <v>90.800000000000011</v>
      </c>
      <c r="I11" s="1">
        <v>119.05</v>
      </c>
      <c r="J11" s="1">
        <v>140.39999999999998</v>
      </c>
    </row>
    <row r="12" spans="1:17" x14ac:dyDescent="0.2">
      <c r="A12">
        <v>2024</v>
      </c>
      <c r="B12" s="1">
        <v>121.33333333333333</v>
      </c>
      <c r="C12" s="1">
        <v>120.96666666666665</v>
      </c>
      <c r="D12" s="1">
        <v>95.366666666666674</v>
      </c>
      <c r="E12" s="1">
        <v>142.53333333333333</v>
      </c>
      <c r="F12" s="1">
        <v>135.73333333333332</v>
      </c>
      <c r="G12" s="1">
        <v>105.83333333333333</v>
      </c>
      <c r="H12" s="1">
        <v>103.36666666666667</v>
      </c>
      <c r="I12" s="1">
        <v>118.26666666666667</v>
      </c>
      <c r="J12" s="1">
        <v>136.70000000000002</v>
      </c>
    </row>
    <row r="15" spans="1:17" x14ac:dyDescent="0.2">
      <c r="A15" t="s">
        <v>46</v>
      </c>
      <c r="E15" t="s">
        <v>46</v>
      </c>
      <c r="I15" t="s">
        <v>46</v>
      </c>
      <c r="M15" t="s">
        <v>46</v>
      </c>
      <c r="Q15" t="s">
        <v>46</v>
      </c>
    </row>
    <row r="16" spans="1:17" x14ac:dyDescent="0.2">
      <c r="A16" t="s">
        <v>47</v>
      </c>
      <c r="E16" t="s">
        <v>47</v>
      </c>
      <c r="I16" t="s">
        <v>47</v>
      </c>
      <c r="M16" t="s">
        <v>47</v>
      </c>
      <c r="Q16" t="s">
        <v>47</v>
      </c>
    </row>
    <row r="17" spans="1:18" x14ac:dyDescent="0.2">
      <c r="A17" t="s">
        <v>41</v>
      </c>
      <c r="B17" s="2" t="s">
        <v>43</v>
      </c>
      <c r="C17" s="2"/>
      <c r="E17" t="s">
        <v>41</v>
      </c>
      <c r="F17" s="2" t="s">
        <v>45</v>
      </c>
      <c r="G17" s="2"/>
      <c r="I17" t="s">
        <v>41</v>
      </c>
      <c r="J17" s="2" t="s">
        <v>37</v>
      </c>
      <c r="K17" s="2"/>
      <c r="M17" t="s">
        <v>41</v>
      </c>
      <c r="N17" s="2" t="s">
        <v>44</v>
      </c>
      <c r="O17" s="2"/>
      <c r="Q17" t="s">
        <v>41</v>
      </c>
      <c r="R17" t="s">
        <v>42</v>
      </c>
    </row>
    <row r="18" spans="1:18" x14ac:dyDescent="0.2">
      <c r="A18" t="s">
        <v>40</v>
      </c>
      <c r="B18" t="s">
        <v>33</v>
      </c>
      <c r="C18" t="s">
        <v>34</v>
      </c>
      <c r="E18" t="s">
        <v>40</v>
      </c>
      <c r="F18" t="s">
        <v>38</v>
      </c>
      <c r="G18" t="s">
        <v>36</v>
      </c>
      <c r="I18" t="s">
        <v>40</v>
      </c>
      <c r="J18" t="s">
        <v>32</v>
      </c>
      <c r="K18" t="s">
        <v>37</v>
      </c>
      <c r="M18" t="s">
        <v>40</v>
      </c>
      <c r="N18" t="s">
        <v>35</v>
      </c>
      <c r="O18" t="s">
        <v>39</v>
      </c>
      <c r="Q18" t="s">
        <v>40</v>
      </c>
      <c r="R18" t="s">
        <v>31</v>
      </c>
    </row>
    <row r="19" spans="1:18" x14ac:dyDescent="0.2">
      <c r="A19" s="1">
        <v>2017</v>
      </c>
      <c r="B19" s="1">
        <v>100</v>
      </c>
      <c r="C19" s="1">
        <v>100</v>
      </c>
      <c r="E19" s="1">
        <v>2017</v>
      </c>
      <c r="F19" s="1">
        <v>100</v>
      </c>
      <c r="G19" s="1">
        <v>99.974999999999994</v>
      </c>
      <c r="I19" s="1">
        <v>2017</v>
      </c>
      <c r="J19" s="1">
        <v>100</v>
      </c>
      <c r="K19" s="1">
        <v>100</v>
      </c>
      <c r="M19" s="1">
        <v>2017</v>
      </c>
      <c r="N19" s="1">
        <v>99.974999999999994</v>
      </c>
      <c r="O19" s="1">
        <v>100.00000000000001</v>
      </c>
      <c r="Q19" s="1">
        <v>2017</v>
      </c>
      <c r="R19" s="1">
        <v>100</v>
      </c>
    </row>
    <row r="20" spans="1:18" x14ac:dyDescent="0.2">
      <c r="A20">
        <v>2018</v>
      </c>
      <c r="B20" s="1">
        <v>101.75</v>
      </c>
      <c r="C20" s="1">
        <v>106.15</v>
      </c>
      <c r="E20">
        <v>2018</v>
      </c>
      <c r="F20" s="1">
        <v>104</v>
      </c>
      <c r="G20" s="1">
        <v>111.425</v>
      </c>
      <c r="I20">
        <v>2018</v>
      </c>
      <c r="J20" s="1">
        <v>102.925</v>
      </c>
      <c r="K20" s="1">
        <v>98.3</v>
      </c>
      <c r="M20">
        <v>2018</v>
      </c>
      <c r="N20" s="1">
        <v>92.449999999999989</v>
      </c>
      <c r="O20" s="1">
        <v>97.2</v>
      </c>
      <c r="Q20">
        <v>2018</v>
      </c>
      <c r="R20" s="1">
        <v>104.42499999999998</v>
      </c>
    </row>
    <row r="21" spans="1:18" x14ac:dyDescent="0.2">
      <c r="A21">
        <v>2019</v>
      </c>
      <c r="B21" s="1">
        <v>117.425</v>
      </c>
      <c r="C21" s="1">
        <v>111.175</v>
      </c>
      <c r="E21">
        <v>2019</v>
      </c>
      <c r="F21" s="1">
        <v>106.37500000000001</v>
      </c>
      <c r="G21" s="1">
        <v>129.19999999999999</v>
      </c>
      <c r="I21">
        <v>2019</v>
      </c>
      <c r="J21" s="1">
        <v>106.125</v>
      </c>
      <c r="K21" s="1">
        <v>96.724999999999994</v>
      </c>
      <c r="M21">
        <v>2019</v>
      </c>
      <c r="N21" s="1">
        <v>83.275000000000006</v>
      </c>
      <c r="O21" s="1">
        <v>92.9</v>
      </c>
      <c r="Q21">
        <v>2019</v>
      </c>
      <c r="R21" s="1">
        <v>107.75</v>
      </c>
    </row>
    <row r="22" spans="1:18" x14ac:dyDescent="0.2">
      <c r="A22">
        <v>2020</v>
      </c>
      <c r="B22" s="1">
        <v>134.54999999999998</v>
      </c>
      <c r="C22" s="1">
        <v>128.6</v>
      </c>
      <c r="E22">
        <v>2020</v>
      </c>
      <c r="F22" s="1">
        <v>110.65</v>
      </c>
      <c r="G22" s="1">
        <v>140.55000000000001</v>
      </c>
      <c r="I22">
        <v>2020</v>
      </c>
      <c r="J22" s="1">
        <v>113.325</v>
      </c>
      <c r="K22" s="1">
        <v>96.6</v>
      </c>
      <c r="M22">
        <v>2020</v>
      </c>
      <c r="N22" s="1">
        <v>78.025000000000006</v>
      </c>
      <c r="O22" s="1">
        <v>88.299999999999983</v>
      </c>
      <c r="Q22">
        <v>2020</v>
      </c>
      <c r="R22" s="1">
        <v>111.52499999999999</v>
      </c>
    </row>
    <row r="23" spans="1:18" x14ac:dyDescent="0.2">
      <c r="A23">
        <v>2021</v>
      </c>
      <c r="B23" s="1">
        <v>138.52499999999998</v>
      </c>
      <c r="C23" s="1">
        <v>133.125</v>
      </c>
      <c r="E23">
        <v>2021</v>
      </c>
      <c r="F23" s="1">
        <v>112.675</v>
      </c>
      <c r="G23" s="1">
        <v>143.5</v>
      </c>
      <c r="I23">
        <v>2021</v>
      </c>
      <c r="J23" s="1">
        <v>121.35</v>
      </c>
      <c r="K23" s="1">
        <v>99.825000000000003</v>
      </c>
      <c r="M23">
        <v>2021</v>
      </c>
      <c r="N23" s="1">
        <v>79.875</v>
      </c>
      <c r="O23" s="1">
        <v>87</v>
      </c>
      <c r="Q23">
        <v>2021</v>
      </c>
      <c r="R23" s="1">
        <v>122.75</v>
      </c>
    </row>
    <row r="24" spans="1:18" x14ac:dyDescent="0.2">
      <c r="A24">
        <v>2022</v>
      </c>
      <c r="B24" s="1">
        <v>138.57499999999999</v>
      </c>
      <c r="C24" s="1">
        <v>139.125</v>
      </c>
      <c r="E24">
        <v>2022</v>
      </c>
      <c r="F24" s="1">
        <v>121.8</v>
      </c>
      <c r="G24" s="1">
        <v>145.19999999999999</v>
      </c>
      <c r="I24">
        <v>2022</v>
      </c>
      <c r="J24" s="1">
        <v>119.6</v>
      </c>
      <c r="K24" s="1">
        <v>94.4</v>
      </c>
      <c r="M24">
        <v>2022</v>
      </c>
      <c r="N24" s="1">
        <v>82</v>
      </c>
      <c r="O24" s="1">
        <v>87.674999999999997</v>
      </c>
      <c r="Q24">
        <v>2022</v>
      </c>
      <c r="R24" s="1">
        <v>119.9</v>
      </c>
    </row>
    <row r="25" spans="1:18" x14ac:dyDescent="0.2">
      <c r="A25">
        <v>2023</v>
      </c>
      <c r="B25" s="1">
        <v>139.5</v>
      </c>
      <c r="C25" s="1">
        <v>137.92500000000001</v>
      </c>
      <c r="E25">
        <v>2023</v>
      </c>
      <c r="F25" s="1">
        <v>119.05</v>
      </c>
      <c r="G25" s="1">
        <v>140.39999999999998</v>
      </c>
      <c r="I25">
        <v>2023</v>
      </c>
      <c r="J25" s="1">
        <v>117.47500000000001</v>
      </c>
      <c r="K25" s="1">
        <v>92.724999999999994</v>
      </c>
      <c r="M25">
        <v>2023</v>
      </c>
      <c r="N25" s="1">
        <v>90.45</v>
      </c>
      <c r="O25" s="1">
        <v>90.800000000000011</v>
      </c>
      <c r="Q25">
        <v>2023</v>
      </c>
      <c r="R25" s="1">
        <v>120.32499999999999</v>
      </c>
    </row>
    <row r="26" spans="1:18" x14ac:dyDescent="0.2">
      <c r="A26">
        <v>2024</v>
      </c>
      <c r="B26" s="1">
        <v>142.53333333333333</v>
      </c>
      <c r="C26" s="1">
        <v>135.73333333333332</v>
      </c>
      <c r="E26">
        <v>2024</v>
      </c>
      <c r="F26" s="1">
        <v>118.26666666666667</v>
      </c>
      <c r="G26" s="1">
        <v>136.70000000000002</v>
      </c>
      <c r="I26">
        <v>2024</v>
      </c>
      <c r="J26" s="1">
        <v>120.96666666666665</v>
      </c>
      <c r="K26" s="1">
        <v>95.366666666666674</v>
      </c>
      <c r="M26">
        <v>2024</v>
      </c>
      <c r="N26" s="1">
        <v>105.83333333333333</v>
      </c>
      <c r="O26" s="1">
        <v>103.36666666666667</v>
      </c>
      <c r="Q26">
        <v>2024</v>
      </c>
      <c r="R26" s="1">
        <v>121.33333333333333</v>
      </c>
    </row>
  </sheetData>
  <mergeCells count="8">
    <mergeCell ref="J17:K17"/>
    <mergeCell ref="N17:O17"/>
    <mergeCell ref="C3:D3"/>
    <mergeCell ref="E3:F3"/>
    <mergeCell ref="G3:H3"/>
    <mergeCell ref="I3:J3"/>
    <mergeCell ref="B17:C17"/>
    <mergeCell ref="F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New_Condo_2017-2024</vt:lpstr>
      <vt:lpstr>Chart_Sheet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Quadir</dc:creator>
  <cp:lastModifiedBy>Saiful Quadir</cp:lastModifiedBy>
  <dcterms:created xsi:type="dcterms:W3CDTF">2025-01-16T23:49:25Z</dcterms:created>
  <dcterms:modified xsi:type="dcterms:W3CDTF">2025-01-19T14:31:54Z</dcterms:modified>
</cp:coreProperties>
</file>